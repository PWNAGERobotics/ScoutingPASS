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udd/Downloads/"/>
    </mc:Choice>
  </mc:AlternateContent>
  <xr:revisionPtr revIDLastSave="0" documentId="13_ncr:1_{B1D182E1-3F3D-9D4E-9846-92549A06B122}" xr6:coauthVersionLast="36" xr6:coauthVersionMax="36" xr10:uidLastSave="{00000000-0000-0000-0000-000000000000}"/>
  <bookViews>
    <workbookView xWindow="720" yWindow="740" windowWidth="28040" windowHeight="17080" xr2:uid="{B3375088-5EB5-734A-B73F-EDFD4287129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H6" i="1"/>
  <c r="N6" i="1"/>
  <c r="F6" i="1"/>
  <c r="L6" i="1"/>
  <c r="K6" i="1"/>
  <c r="I6" i="1"/>
  <c r="O6" i="1"/>
  <c r="G6" i="1"/>
  <c r="M6" i="1"/>
  <c r="E6" i="1"/>
  <c r="D6" i="1"/>
  <c r="J6" i="1"/>
  <c r="P5" i="1"/>
  <c r="O5" i="1"/>
  <c r="G5" i="1"/>
  <c r="N5" i="1"/>
  <c r="F5" i="1"/>
  <c r="M5" i="1"/>
  <c r="E5" i="1"/>
  <c r="L5" i="1"/>
  <c r="D5" i="1"/>
  <c r="K5" i="1"/>
  <c r="J5" i="1"/>
  <c r="I5" i="1"/>
  <c r="H5" i="1"/>
  <c r="P4" i="1"/>
  <c r="H4" i="1"/>
  <c r="F4" i="1"/>
  <c r="M4" i="1"/>
  <c r="O4" i="1"/>
  <c r="G4" i="1"/>
  <c r="N4" i="1"/>
  <c r="E4" i="1"/>
  <c r="L4" i="1"/>
  <c r="D4" i="1"/>
  <c r="K4" i="1"/>
  <c r="J4" i="1"/>
  <c r="I4" i="1"/>
  <c r="O2" i="1"/>
  <c r="G2" i="1"/>
  <c r="M3" i="1"/>
  <c r="P2" i="1"/>
  <c r="F2" i="1"/>
  <c r="E3" i="1"/>
  <c r="E2" i="1"/>
  <c r="D3" i="1"/>
  <c r="D2" i="1"/>
  <c r="P3" i="1"/>
  <c r="K3" i="1"/>
  <c r="O3" i="1"/>
  <c r="J3" i="1"/>
  <c r="G3" i="1"/>
  <c r="I3" i="1"/>
  <c r="N3" i="1"/>
  <c r="H3" i="1"/>
  <c r="F3" i="1"/>
  <c r="L3" i="1"/>
  <c r="N2" i="1"/>
  <c r="M2" i="1"/>
  <c r="L2" i="1"/>
  <c r="K2" i="1"/>
  <c r="J2" i="1"/>
  <c r="I2" i="1"/>
  <c r="H2" i="1"/>
</calcChain>
</file>

<file path=xl/sharedStrings.xml><?xml version="1.0" encoding="utf-8"?>
<sst xmlns="http://schemas.openxmlformats.org/spreadsheetml/2006/main" count="31" uniqueCount="28">
  <si>
    <t>autoGrid</t>
  </si>
  <si>
    <t>teeopGrid</t>
  </si>
  <si>
    <t>[5,15,7,17]</t>
  </si>
  <si>
    <t>[7,12,1,18]</t>
  </si>
  <si>
    <t>cycleTimes</t>
  </si>
  <si>
    <t>["8.3","8.1","8.8","7.3"]</t>
  </si>
  <si>
    <t>[]</t>
  </si>
  <si>
    <t>autoGP</t>
  </si>
  <si>
    <t>autoCones</t>
  </si>
  <si>
    <t>autoCubes</t>
  </si>
  <si>
    <t>teleGP</t>
  </si>
  <si>
    <t>teleCones</t>
  </si>
  <si>
    <t>teleCubes</t>
  </si>
  <si>
    <t>autoHigh</t>
  </si>
  <si>
    <t>autoMed</t>
  </si>
  <si>
    <t>autoLow</t>
  </si>
  <si>
    <t>[1,2,3,4,5,6,7,8,9,10,11,14,19,20,22,23,24,34,35,36]</t>
  </si>
  <si>
    <t>high</t>
  </si>
  <si>
    <t>medium</t>
  </si>
  <si>
    <t>low</t>
  </si>
  <si>
    <t>avgCycleTime</t>
  </si>
  <si>
    <t>["10.1","4.2","7.8","12.7","11.0"]</t>
  </si>
  <si>
    <t>[30]</t>
  </si>
  <si>
    <t>[36,33]</t>
  </si>
  <si>
    <t>["35.2","28.0"]</t>
  </si>
  <si>
    <t>[19]</t>
  </si>
  <si>
    <t>[20]</t>
  </si>
  <si>
    <t>["29.9"]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</si>
</sst>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4"/>
      <color rgb="FF000000"/>
      <name val="Lucida Console"/>
      <family val="2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2" xfId="0" applyFont="1" applyBorder="1"/>
    <xf numFmtId="2" fontId="0" fillId="0" borderId="0" xfId="0" applyNumberFormat="1"/>
    <xf numFmtId="0" fontId="1" fillId="0" borderId="2" xfId="0" applyFont="1" applyBorder="1"/>
    <xf numFmtId="0" fontId="1" fillId="0" borderId="1" xfId="0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2" borderId="4" xfId="0" applyFont="1" applyFill="1" applyBorder="1"/>
    <xf numFmtId="2" fontId="0" fillId="2" borderId="4" xfId="0" applyNumberFormat="1" applyFont="1" applyFill="1" applyBorder="1"/>
    <xf numFmtId="2" fontId="0" fillId="0" borderId="2" xfId="0" applyNumberFormat="1" applyFont="1" applyBorder="1"/>
    <xf numFmtId="0" fontId="2" fillId="3" borderId="5" xfId="0" applyFont="1" applyFill="1" applyBorder="1"/>
    <xf numFmtId="0" fontId="2" fillId="3" borderId="0" xfId="0" applyFont="1" applyFill="1" applyBorder="1"/>
    <xf numFmtId="2" fontId="2" fillId="3" borderId="0" xfId="0" applyNumberFormat="1" applyFont="1" applyFill="1" applyBorder="1"/>
    <xf numFmtId="0" fontId="1" fillId="0" borderId="2" xfId="0" applyFont="1" applyFill="1" applyBorder="1"/>
  </cellXfs>
  <cellStyles count="1"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Lucida Console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Lucida Console"/>
        <family val="2"/>
        <scheme val="none"/>
      </font>
    </dxf>
    <dxf>
      <border outline="0">
        <right style="thin">
          <color theme="4" tint="0.39997558519241921"/>
        </right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40CA48-30FB-5D4C-9FC9-A03151D26950}" name="ScoutingData" displayName="ScoutingData" ref="A1:P6" totalsRowShown="0" headerRowDxfId="0" dataDxfId="1" tableBorderDxfId="17">
  <autoFilter ref="A1:P6" xr:uid="{130445F3-043A-AE4B-B975-556D5E542715}"/>
  <tableColumns count="16">
    <tableColumn id="1" xr3:uid="{5D186F01-FEEE-D549-8701-4556A4FED104}" name="autoGrid" dataDxfId="16"/>
    <tableColumn id="2" xr3:uid="{5AAF6D05-C25E-4346-AAD9-2F092FB4A8B3}" name="teeopGrid"/>
    <tableColumn id="3" xr3:uid="{2B5AF48D-E229-3E4B-8F2C-ECA0F2691CD4}" name="cycleTimes" dataDxfId="15"/>
    <tableColumn id="4" xr3:uid="{753A1BD9-2B67-3E4C-8639-BA2CC88C349B}" name="autoGP" dataDxfId="14">
      <calculatedColumnFormula>getTotalCount(A2)</calculatedColumnFormula>
    </tableColumn>
    <tableColumn id="5" xr3:uid="{FBD4E1C9-510D-2C4B-8153-AC3BF20B743B}" name="autoCones" dataDxfId="13">
      <calculatedColumnFormula>getConeCount(A2)</calculatedColumnFormula>
    </tableColumn>
    <tableColumn id="6" xr3:uid="{0AB50583-FD41-0948-B518-4D624C79A260}" name="autoCubes" dataDxfId="12">
      <calculatedColumnFormula>getCubeCount(A2)</calculatedColumnFormula>
    </tableColumn>
    <tableColumn id="7" xr3:uid="{A05EECB1-4A97-0648-BC9B-A17A9220183C}" name="autoHigh" dataDxfId="11">
      <calculatedColumnFormula>getHighCount(A2)</calculatedColumnFormula>
    </tableColumn>
    <tableColumn id="8" xr3:uid="{6C4B6855-3334-9E4F-B134-133CEDF4FEA7}" name="autoMed" dataDxfId="10">
      <calculatedColumnFormula>getMedCount(A2)</calculatedColumnFormula>
    </tableColumn>
    <tableColumn id="9" xr3:uid="{DA93290D-DCD2-184C-ADC7-66845931880E}" name="autoLow" dataDxfId="9">
      <calculatedColumnFormula>getLowCount(A2)</calculatedColumnFormula>
    </tableColumn>
    <tableColumn id="10" xr3:uid="{E54D5DE6-C918-2549-AD20-FC2FF6B3AA3C}" name="teleGP" dataDxfId="8">
      <calculatedColumnFormula>getTotalCount(B2)</calculatedColumnFormula>
    </tableColumn>
    <tableColumn id="11" xr3:uid="{4378C70B-D275-5741-91A4-379559A7E9C1}" name="teleCones" dataDxfId="7">
      <calculatedColumnFormula>getConeCount(B2)</calculatedColumnFormula>
    </tableColumn>
    <tableColumn id="12" xr3:uid="{D73EEFEC-4372-C042-B2B2-40ECCEF9D500}" name="teleCubes" dataDxfId="6">
      <calculatedColumnFormula>getCubeCount(B2)</calculatedColumnFormula>
    </tableColumn>
    <tableColumn id="13" xr3:uid="{F6A900E9-AB18-8E4A-9C4F-5683B2DE14CF}" name="high" dataDxfId="5">
      <calculatedColumnFormula>getHighCount(B2)</calculatedColumnFormula>
    </tableColumn>
    <tableColumn id="14" xr3:uid="{CE0FEEF5-4BA7-BF47-A284-302BE50ED9BB}" name="medium" dataDxfId="4">
      <calculatedColumnFormula>getMedCount(B2)</calculatedColumnFormula>
    </tableColumn>
    <tableColumn id="15" xr3:uid="{C8CF66AE-D142-0946-BF35-C42AFF8BE023}" name="low" dataDxfId="3">
      <calculatedColumnFormula>getLowCount(B2)</calculatedColumnFormula>
    </tableColumn>
    <tableColumn id="16" xr3:uid="{453CB079-03B2-864B-8A55-6932E4DE1DB8}" name="avgCycleTime" dataDxfId="2">
      <calculatedColumnFormula>getAvgCycleTime(C2)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174-E65E-8F4A-8620-A7B3BE03CB0A}">
  <sheetPr codeName="Sheet1"/>
  <dimension ref="A1:P6"/>
  <sheetViews>
    <sheetView tabSelected="1" workbookViewId="0">
      <selection activeCell="A2" sqref="A2"/>
    </sheetView>
  </sheetViews>
  <sheetFormatPr baseColWidth="10" defaultRowHeight="16" x14ac:dyDescent="0.2"/>
  <cols>
    <col min="1" max="1" width="15.83203125" bestFit="1" customWidth="1"/>
    <col min="2" max="2" width="17.6640625" customWidth="1"/>
    <col min="3" max="3" width="36.83203125" customWidth="1"/>
    <col min="4" max="4" width="15.1640625" bestFit="1" customWidth="1"/>
    <col min="5" max="6" width="12" customWidth="1"/>
    <col min="7" max="7" width="11" customWidth="1"/>
    <col min="11" max="12" width="11.5" customWidth="1"/>
    <col min="16" max="16" width="15" style="5" customWidth="1"/>
  </cols>
  <sheetData>
    <row r="1" spans="1:16" x14ac:dyDescent="0.2">
      <c r="A1" s="13" t="s">
        <v>0</v>
      </c>
      <c r="B1" s="14" t="s">
        <v>1</v>
      </c>
      <c r="C1" s="14" t="s">
        <v>4</v>
      </c>
      <c r="D1" s="14" t="s">
        <v>7</v>
      </c>
      <c r="E1" s="14" t="s">
        <v>8</v>
      </c>
      <c r="F1" s="14" t="s">
        <v>9</v>
      </c>
      <c r="G1" s="14" t="s">
        <v>13</v>
      </c>
      <c r="H1" s="14" t="s">
        <v>14</v>
      </c>
      <c r="I1" s="14" t="s">
        <v>15</v>
      </c>
      <c r="J1" s="14" t="s">
        <v>10</v>
      </c>
      <c r="K1" s="14" t="s">
        <v>11</v>
      </c>
      <c r="L1" s="14" t="s">
        <v>12</v>
      </c>
      <c r="M1" s="14" t="s">
        <v>17</v>
      </c>
      <c r="N1" s="14" t="s">
        <v>18</v>
      </c>
      <c r="O1" s="14" t="s">
        <v>19</v>
      </c>
      <c r="P1" s="15" t="s">
        <v>20</v>
      </c>
    </row>
    <row r="2" spans="1:16" ht="18" x14ac:dyDescent="0.2">
      <c r="A2" s="8" t="s">
        <v>16</v>
      </c>
      <c r="B2" s="9" t="s">
        <v>3</v>
      </c>
      <c r="C2" s="9" t="s">
        <v>5</v>
      </c>
      <c r="D2" s="10">
        <f>getTotalCount(A2)</f>
        <v>20</v>
      </c>
      <c r="E2" s="10">
        <f>getConeCount(A2)</f>
        <v>12</v>
      </c>
      <c r="F2" s="10">
        <f>getCubeCount(A2)</f>
        <v>8</v>
      </c>
      <c r="G2" s="10">
        <f>getHighCount(A2)</f>
        <v>9</v>
      </c>
      <c r="H2" s="10">
        <f>getMedCount(A2)</f>
        <v>3</v>
      </c>
      <c r="I2" s="10">
        <f>getLowCount(A2)</f>
        <v>8</v>
      </c>
      <c r="J2" s="10">
        <f>getTotalCount(B2)</f>
        <v>4</v>
      </c>
      <c r="K2" s="10">
        <f>getConeCount(B2)</f>
        <v>4</v>
      </c>
      <c r="L2" s="10">
        <f>getCubeCount(B2)</f>
        <v>0</v>
      </c>
      <c r="M2" s="10">
        <f>getHighCount(B2)</f>
        <v>2</v>
      </c>
      <c r="N2" s="10">
        <f>getMedCount(B2)</f>
        <v>2</v>
      </c>
      <c r="O2" s="10">
        <f>getLowCount(B2)</f>
        <v>0</v>
      </c>
      <c r="P2" s="11">
        <f>getAvgCycleTime(C2)</f>
        <v>8.125</v>
      </c>
    </row>
    <row r="3" spans="1:16" ht="18" x14ac:dyDescent="0.2">
      <c r="A3" s="7" t="s">
        <v>6</v>
      </c>
      <c r="B3" s="6" t="s">
        <v>6</v>
      </c>
      <c r="C3" s="6" t="s">
        <v>6</v>
      </c>
      <c r="D3" s="4">
        <f>getTotalCount(A3)</f>
        <v>0</v>
      </c>
      <c r="E3" s="4">
        <f>getConeCount(A3)</f>
        <v>0</v>
      </c>
      <c r="F3" s="4">
        <f>getCubeCount(A3)</f>
        <v>0</v>
      </c>
      <c r="G3" s="4">
        <f>getHighCount(A3)</f>
        <v>0</v>
      </c>
      <c r="H3" s="4">
        <f>getMedCount(A3)</f>
        <v>0</v>
      </c>
      <c r="I3" s="4">
        <f>getLowCount(A3)</f>
        <v>0</v>
      </c>
      <c r="J3" s="4">
        <f>getTotalCount(B3)</f>
        <v>0</v>
      </c>
      <c r="K3" s="4">
        <f>getConeCount(B3)</f>
        <v>0</v>
      </c>
      <c r="L3" s="4">
        <f>getCubeCount(B3)</f>
        <v>0</v>
      </c>
      <c r="M3" s="4">
        <f>getHighCount(B3)</f>
        <v>0</v>
      </c>
      <c r="N3" s="4">
        <f>getMedCount(B3)</f>
        <v>0</v>
      </c>
      <c r="O3" s="4">
        <f>getLowCount(B3)</f>
        <v>0</v>
      </c>
      <c r="P3" s="12">
        <f>getAvgCycleTime(C3)</f>
        <v>0</v>
      </c>
    </row>
    <row r="4" spans="1:16" ht="18" x14ac:dyDescent="0.2">
      <c r="A4" s="1" t="s">
        <v>2</v>
      </c>
      <c r="B4" s="2" t="s">
        <v>16</v>
      </c>
      <c r="C4" s="3" t="s">
        <v>21</v>
      </c>
      <c r="D4" s="4">
        <f>getTotalCount(A4)</f>
        <v>4</v>
      </c>
      <c r="E4" s="4">
        <f>getConeCount(A4)</f>
        <v>2</v>
      </c>
      <c r="F4" s="4">
        <f>getCubeCount(A4)</f>
        <v>2</v>
      </c>
      <c r="G4" s="4">
        <f>getHighCount(A4)</f>
        <v>2</v>
      </c>
      <c r="H4" s="4">
        <f>getMedCount(A4)</f>
        <v>2</v>
      </c>
      <c r="I4" s="4">
        <f>getLowCount(A4)</f>
        <v>0</v>
      </c>
      <c r="J4" s="4">
        <f>getTotalCount(B4)</f>
        <v>20</v>
      </c>
      <c r="K4" s="4">
        <f>getConeCount(B4)</f>
        <v>12</v>
      </c>
      <c r="L4" s="4">
        <f>getCubeCount(B4)</f>
        <v>8</v>
      </c>
      <c r="M4" s="4">
        <f>getHighCount(B4)</f>
        <v>9</v>
      </c>
      <c r="N4" s="4">
        <f>getMedCount(B4)</f>
        <v>3</v>
      </c>
      <c r="O4" s="4">
        <f>getLowCount(B4)</f>
        <v>8</v>
      </c>
      <c r="P4" s="12">
        <f>getAvgCycleTime(C4)</f>
        <v>9.16</v>
      </c>
    </row>
    <row r="5" spans="1:16" ht="18" x14ac:dyDescent="0.2">
      <c r="A5" s="1" t="s">
        <v>22</v>
      </c>
      <c r="B5" s="1" t="s">
        <v>23</v>
      </c>
      <c r="C5" s="16" t="s">
        <v>24</v>
      </c>
      <c r="D5" s="4">
        <f>getTotalCount(A5)</f>
        <v>1</v>
      </c>
      <c r="E5" s="4">
        <f>getConeCount(A5)</f>
        <v>0</v>
      </c>
      <c r="F5" s="4">
        <f>getCubeCount(A5)</f>
        <v>1</v>
      </c>
      <c r="G5" s="4">
        <f>getHighCount(A5)</f>
        <v>0</v>
      </c>
      <c r="H5" s="4">
        <f>getMedCount(A5)</f>
        <v>0</v>
      </c>
      <c r="I5" s="4">
        <f>getLowCount(A5)</f>
        <v>1</v>
      </c>
      <c r="J5" s="4">
        <f>getTotalCount(B5)</f>
        <v>2</v>
      </c>
      <c r="K5" s="4">
        <f>getConeCount(B5)</f>
        <v>0</v>
      </c>
      <c r="L5" s="4">
        <f>getCubeCount(B5)</f>
        <v>2</v>
      </c>
      <c r="M5" s="4">
        <f>getHighCount(B5)</f>
        <v>0</v>
      </c>
      <c r="N5" s="4">
        <f>getMedCount(B5)</f>
        <v>0</v>
      </c>
      <c r="O5" s="4">
        <f>getLowCount(B5)</f>
        <v>2</v>
      </c>
      <c r="P5" s="12">
        <f>getAvgCycleTime(C5)</f>
        <v>31.6</v>
      </c>
    </row>
    <row r="6" spans="1:16" ht="18" x14ac:dyDescent="0.2">
      <c r="A6" s="1" t="s">
        <v>25</v>
      </c>
      <c r="B6" s="1" t="s">
        <v>26</v>
      </c>
      <c r="C6" s="3" t="s">
        <v>27</v>
      </c>
      <c r="D6" s="4">
        <f>getTotalCount(A6)</f>
        <v>1</v>
      </c>
      <c r="E6" s="4">
        <f>getConeCount(A6)</f>
        <v>1</v>
      </c>
      <c r="F6" s="4">
        <f>getCubeCount(A6)</f>
        <v>0</v>
      </c>
      <c r="G6" s="4">
        <f>getHighCount(A6)</f>
        <v>0</v>
      </c>
      <c r="H6" s="4">
        <f>getMedCount(A6)</f>
        <v>0</v>
      </c>
      <c r="I6" s="4">
        <f>getLowCount(A6)</f>
        <v>1</v>
      </c>
      <c r="J6" s="4">
        <f>getTotalCount(B6)</f>
        <v>1</v>
      </c>
      <c r="K6" s="4">
        <f>getConeCount(B6)</f>
        <v>1</v>
      </c>
      <c r="L6" s="4">
        <f>getCubeCount(B6)</f>
        <v>0</v>
      </c>
      <c r="M6" s="4">
        <f>getHighCount(B6)</f>
        <v>0</v>
      </c>
      <c r="N6" s="4">
        <f>getMedCount(B6)</f>
        <v>0</v>
      </c>
      <c r="O6" s="4">
        <f>getLowCount(B6)</f>
        <v>1</v>
      </c>
      <c r="P6" s="12">
        <f>getAvgCycleTime(C6)</f>
        <v>29.9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Elmer Fudd</dc:creator>
  <cp:lastModifiedBy>Elmer Fudd</cp:lastModifiedBy>
  <dcterms:created xsi:type="dcterms:W3CDTF">2023-01-24T20:59:56Z</dcterms:created>
  <dcterms:modified xsi:type="dcterms:W3CDTF">2023-01-28T00:55:52Z</dcterms:modified>
</cp:coreProperties>
</file>